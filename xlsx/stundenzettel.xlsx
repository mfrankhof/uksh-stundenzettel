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frankhof\IdeaProjects\uksh-stundenzettel\"/>
    </mc:Choice>
  </mc:AlternateContent>
  <xr:revisionPtr revIDLastSave="0" documentId="13_ncr:1_{5D4A8F74-5A7A-4486-8F1C-FCC09456C26C}" xr6:coauthVersionLast="47" xr6:coauthVersionMax="47" xr10:uidLastSave="{00000000-0000-0000-0000-000000000000}"/>
  <bookViews>
    <workbookView xWindow="3320" yWindow="2180" windowWidth="28800" windowHeight="15370" xr2:uid="{7722BDA5-3A8C-4777-ADF0-D4E9850182A3}"/>
  </bookViews>
  <sheets>
    <sheet name="Übersicht" sheetId="4" r:id="rId1"/>
    <sheet name="Einträge" sheetId="1" r:id="rId2"/>
    <sheet name="Stammdaten" sheetId="5" r:id="rId3"/>
  </sheets>
  <definedNames>
    <definedName name="Einsatzbereich">Stammdaten!$B$4</definedName>
    <definedName name="Nachname">Stammdaten!$B$2</definedName>
    <definedName name="Personalnummer">Stammdaten!$B$3</definedName>
    <definedName name="Stundenlohn">Stammdaten!$B$5</definedName>
    <definedName name="Vorname">Stammdaten!$B$1</definedName>
  </definedName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F3" i="1"/>
  <c r="G3" i="1" s="1"/>
  <c r="H3" i="1" s="1"/>
  <c r="D2" i="1"/>
  <c r="F2" i="1" s="1"/>
  <c r="G2" i="1" s="1"/>
  <c r="H2" i="1" s="1"/>
</calcChain>
</file>

<file path=xl/sharedStrings.xml><?xml version="1.0" encoding="utf-8"?>
<sst xmlns="http://schemas.openxmlformats.org/spreadsheetml/2006/main" count="25" uniqueCount="25">
  <si>
    <t>Datum</t>
  </si>
  <si>
    <t>Beginn</t>
  </si>
  <si>
    <t>Ende</t>
  </si>
  <si>
    <t>Pause</t>
  </si>
  <si>
    <t>Arbeitszeit Brutto</t>
  </si>
  <si>
    <t>Arbeitszeit Netto</t>
  </si>
  <si>
    <t>Arbeitszeit Netto Dezimal</t>
  </si>
  <si>
    <t>Besprechung</t>
  </si>
  <si>
    <t>Dateneintragung</t>
  </si>
  <si>
    <t>Gesamtergebnis</t>
  </si>
  <si>
    <t>Apr</t>
  </si>
  <si>
    <t>Lohn</t>
  </si>
  <si>
    <t>Stundenlohn</t>
  </si>
  <si>
    <t>Monat</t>
  </si>
  <si>
    <t>Summe von Lohn</t>
  </si>
  <si>
    <t>Nachname</t>
  </si>
  <si>
    <t>Vorname</t>
  </si>
  <si>
    <t>Personalnummer</t>
  </si>
  <si>
    <t>Einsatzbereich</t>
  </si>
  <si>
    <t>Kinderklinik</t>
  </si>
  <si>
    <t>Bemerkung</t>
  </si>
  <si>
    <t>Summe von Arbeitszeit</t>
  </si>
  <si>
    <t>Max</t>
  </si>
  <si>
    <t>Mustermann</t>
  </si>
  <si>
    <t>PN00012345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</si>
</sst>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#,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" fillId="2" borderId="0" xfId="1" applyFont="1"/>
  </cellXfs>
  <cellStyles count="2">
    <cellStyle name="Akzent1" xfId="1" builtinId="29"/>
    <cellStyle name="Standard" xfId="0" builtinId="0"/>
  </cellStyles>
  <dxfs count="18">
    <dxf>
      <numFmt numFmtId="164" formatCode="h:mm;@"/>
    </dxf>
    <dxf>
      <numFmt numFmtId="164" formatCode="h:mm;@"/>
    </dxf>
    <dxf>
      <numFmt numFmtId="165" formatCode="#,##0.00\ &quot;€&quot;"/>
    </dxf>
    <dxf>
      <numFmt numFmtId="165" formatCode="#,##0.00\ &quot;€&quot;"/>
    </dxf>
    <dxf>
      <numFmt numFmtId="2" formatCode="0.00"/>
    </dxf>
    <dxf>
      <numFmt numFmtId="2" formatCode="0.00"/>
    </dxf>
    <dxf>
      <numFmt numFmtId="164" formatCode="h:mm;@"/>
    </dxf>
    <dxf>
      <numFmt numFmtId="164" formatCode="h:mm;@"/>
    </dxf>
    <dxf>
      <numFmt numFmtId="164" formatCode="h:mm;@"/>
    </dxf>
    <dxf>
      <numFmt numFmtId="164" formatCode="h:mm;@"/>
    </dxf>
    <dxf>
      <numFmt numFmtId="164" formatCode="h:mm;@"/>
    </dxf>
    <dxf>
      <numFmt numFmtId="164" formatCode="h:mm;@"/>
    </dxf>
    <dxf>
      <numFmt numFmtId="25" formatCode="hh:mm"/>
    </dxf>
    <dxf>
      <numFmt numFmtId="25" formatCode="hh:mm"/>
    </dxf>
    <dxf>
      <numFmt numFmtId="25" formatCode="hh:mm"/>
    </dxf>
    <dxf>
      <numFmt numFmtId="25" formatCode="hh:mm"/>
    </dxf>
    <dxf>
      <numFmt numFmtId="166" formatCode="dd/mm/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frankhof" refreshedDate="46163.003944560187" createdVersion="8" refreshedVersion="8" minRefreshableVersion="3" recordCount="2" xr:uid="{EA5207BC-ECD4-654C-86E4-BDAC04B3D3A0}">
  <cacheSource type="worksheet">
    <worksheetSource name="Einträge"/>
  </cacheSource>
  <cacheFields count="13">
    <cacheField name="Datum" numFmtId="14">
      <sharedItems containsSemiMixedTypes="0" containsNonDate="0" containsDate="1" containsString="0" minDate="2026-04-21T00:00:00" maxDate="2026-04-24T00:00:00" count="2">
        <d v="2026-04-21T00:00:00"/>
        <d v="2026-04-23T00:00:00"/>
      </sharedItems>
      <fieldGroup par="11"/>
    </cacheField>
    <cacheField name="Beginn" numFmtId="20">
      <sharedItems containsSemiMixedTypes="0" containsNonDate="0" containsDate="1" containsString="0" minDate="1899-12-30T09:35:00" maxDate="1899-12-30T12:15:00"/>
    </cacheField>
    <cacheField name="Ende" numFmtId="20">
      <sharedItems containsSemiMixedTypes="0" containsNonDate="0" containsDate="1" containsString="0" minDate="1899-12-30T10:05:00" maxDate="1899-12-30T15:01:00"/>
    </cacheField>
    <cacheField name="Arbeitszeit Brutto" numFmtId="164">
      <sharedItems containsSemiMixedTypes="0" containsNonDate="0" containsDate="1" containsString="0" minDate="1899-12-30T00:30:00" maxDate="1899-12-30T02:46:00"/>
    </cacheField>
    <cacheField name="Pause" numFmtId="164">
      <sharedItems containsSemiMixedTypes="0" containsNonDate="0" containsDate="1" containsString="0" minDate="1899-12-30T00:00:00" maxDate="1899-12-31T00:00:00"/>
    </cacheField>
    <cacheField name="Arbeitszeit Netto" numFmtId="164">
      <sharedItems containsSemiMixedTypes="0" containsNonDate="0" containsDate="1" containsString="0" minDate="1899-12-30T00:30:00" maxDate="1899-12-30T02:46:00" count="2">
        <d v="1899-12-30T00:30:00"/>
        <d v="1899-12-30T02:46:00"/>
      </sharedItems>
      <fieldGroup par="10"/>
    </cacheField>
    <cacheField name="Arbeitszeit Netto Dezimal" numFmtId="2">
      <sharedItems containsSemiMixedTypes="0" containsString="0" containsNumber="1" minValue="0.49999999999999956" maxValue="2.7666666666666675"/>
    </cacheField>
    <cacheField name="Lohn" numFmtId="165">
      <sharedItems containsSemiMixedTypes="0" containsString="0" containsNumber="1" minValue="6.9999999999999938" maxValue="38.733333333333348"/>
    </cacheField>
    <cacheField name="Bemerkung" numFmtId="164">
      <sharedItems/>
    </cacheField>
    <cacheField name="Minuten (Arbeitszeit Netto)" numFmtId="0" databaseField="0">
      <fieldGroup base="5">
        <rangePr groupBy="minutes" startDate="1899-12-30T00:30:00" endDate="1899-12-30T02:46:00"/>
        <groupItems count="62">
          <s v="&lt;00.01.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.01.1900"/>
        </groupItems>
      </fieldGroup>
    </cacheField>
    <cacheField name="Stunden (Arbeitszeit Netto)" numFmtId="0" databaseField="0">
      <fieldGroup base="5">
        <rangePr groupBy="hours" startDate="1899-12-30T00:30:00" endDate="1899-12-30T02:46:00"/>
        <groupItems count="26">
          <s v="&lt;00.01.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.01.1900"/>
        </groupItems>
      </fieldGroup>
    </cacheField>
    <cacheField name="Monate (Datum)" numFmtId="0" databaseField="0">
      <fieldGroup base="0">
        <rangePr autoStart="0" autoEnd="0" groupBy="months" startDate="2026-01-01T00:00:00" endDate="2026-12-31T00:00:00"/>
        <groupItems count="14">
          <s v="&lt;01.01.2026"/>
          <s v="Jan"/>
          <s v="Feb"/>
          <s v="Mrz"/>
          <s v="Apr"/>
          <s v="Mai"/>
          <s v="Jun"/>
          <s v="Jul"/>
          <s v="Aug"/>
          <s v="Sep"/>
          <s v="Okt"/>
          <s v="Nov"/>
          <s v="Dez"/>
          <s v="&gt;31.12.2026"/>
        </groupItems>
      </fieldGroup>
    </cacheField>
    <cacheField name="Feld1" numFmtId="0" formula="'Arbeitszeit Netto Dezimal'*14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d v="1899-12-30T09:35:00"/>
    <d v="1899-12-30T10:05:00"/>
    <d v="1899-12-30T00:30:00"/>
    <d v="1899-12-30T00:00:00"/>
    <x v="0"/>
    <n v="0.49999999999999956"/>
    <n v="6.9999999999999938"/>
    <s v="Besprechung"/>
  </r>
  <r>
    <x v="1"/>
    <d v="1899-12-30T12:15:00"/>
    <d v="1899-12-30T15:01:00"/>
    <d v="1899-12-30T02:46:00"/>
    <d v="1899-12-30T00:00:00"/>
    <x v="1"/>
    <n v="2.7666666666666675"/>
    <n v="38.733333333333348"/>
    <s v="Dateneintragu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AF6D4-BC22-0148-9EDA-3A7E81BA2B4C}" name="PivotTable2" cacheId="18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Monat">
  <location ref="A3:C5" firstHeaderRow="0" firstDataRow="1" firstDataCol="1"/>
  <pivotFields count="13">
    <pivotField numFmtId="14" showAll="0">
      <items count="3">
        <item x="0"/>
        <item x="1"/>
        <item t="default"/>
      </items>
    </pivotField>
    <pivotField numFmtId="20" showAll="0"/>
    <pivotField numFmtId="20" showAll="0"/>
    <pivotField numFmtId="164" showAll="0"/>
    <pivotField showAll="0"/>
    <pivotField numFmtId="164" showAll="0">
      <items count="3">
        <item x="0"/>
        <item x="1"/>
        <item t="default"/>
      </items>
    </pivotField>
    <pivotField dataField="1" numFmtId="2" showAll="0"/>
    <pivotField dataField="1" numFmtId="165" showAll="0"/>
    <pivotField showAll="0"/>
    <pivotField showAll="0">
      <items count="63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0"/>
        <item x="61"/>
        <item t="default"/>
      </items>
    </pivotField>
    <pivotField showAll="0">
      <items count="27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25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11"/>
  </rowFields>
  <rowItems count="2"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Arbeitszeit" fld="6" baseField="0" baseItem="0" numFmtId="2"/>
    <dataField name="Summe von Lohn" fld="7" baseField="0" baseItem="0" numFmtId="165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C8B202-9169-480C-A054-44473B4EEC47}" name="Einträge" displayName="Einträge" ref="A1:I3" totalsRowShown="0">
  <autoFilter ref="A1:I3" xr:uid="{5CC8B202-9169-480C-A054-44473B4EEC47}"/>
  <sortState xmlns:xlrd2="http://schemas.microsoft.com/office/spreadsheetml/2017/richdata2" ref="A2:I3">
    <sortCondition ref="A1:A3"/>
  </sortState>
  <tableColumns count="9">
    <tableColumn id="1" xr3:uid="{2BFA2912-A293-49D3-A8CC-80C6A9F8BD6E}" name="Datum" dataDxfId="16" totalsRowDxfId="17"/>
    <tableColumn id="2" xr3:uid="{06F83EAE-0AD0-455B-BB15-7CAD377003FD}" name="Beginn" dataDxfId="14" totalsRowDxfId="15"/>
    <tableColumn id="3" xr3:uid="{21866F84-C78D-4129-B5B0-936680DF4040}" name="Ende" dataDxfId="12" totalsRowDxfId="13"/>
    <tableColumn id="4" xr3:uid="{561CA822-207E-4791-B08B-81F4E2BC9D15}" name="Arbeitszeit Brutto" dataDxfId="10" totalsRowDxfId="11">
      <calculatedColumnFormula>Einträge[[#This Row],[Ende]]-Einträge[[#This Row],[Beginn]]</calculatedColumnFormula>
    </tableColumn>
    <tableColumn id="5" xr3:uid="{C0ABDD88-6D5E-4B2B-8F08-104692474433}" name="Pause" dataDxfId="8" totalsRowDxfId="9"/>
    <tableColumn id="6" xr3:uid="{31DBF1E6-6E4D-4B06-9A4C-DFDEF1F2A78A}" name="Arbeitszeit Netto" dataDxfId="6" totalsRowDxfId="7">
      <calculatedColumnFormula>Einträge[[#This Row],[Arbeitszeit Brutto]]-Einträge[[#This Row],[Pause]]</calculatedColumnFormula>
    </tableColumn>
    <tableColumn id="7" xr3:uid="{F0A9C4F1-A955-497C-811A-CE17D8E4334D}" name="Arbeitszeit Netto Dezimal" dataDxfId="4" totalsRowDxfId="5">
      <calculatedColumnFormula>Einträge[[#This Row],[Arbeitszeit Netto]]*24</calculatedColumnFormula>
    </tableColumn>
    <tableColumn id="9" xr3:uid="{FA149F65-E510-4C48-A48D-AB856D8562C7}" name="Lohn" dataDxfId="2" totalsRowDxfId="3">
      <calculatedColumnFormula>Einträge[[#This Row],[Arbeitszeit Netto Dezimal]]*Stundenlohn</calculatedColumnFormula>
    </tableColumn>
    <tableColumn id="8" xr3:uid="{A13F4253-4442-46A8-ADE0-B092D48B1265}" name="Bemerkung" dataDxfId="0" totalsRow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4CAA-CB15-E748-994F-20D76F3625D3}">
  <dimension ref="A3:C5"/>
  <sheetViews>
    <sheetView tabSelected="1" zoomScale="99" zoomScaleNormal="99" workbookViewId="0">
      <selection activeCell="A4" sqref="A4"/>
    </sheetView>
  </sheetViews>
  <sheetFormatPr baseColWidth="10" defaultRowHeight="14.5" x14ac:dyDescent="0.35"/>
  <cols>
    <col min="1" max="1" width="14.6328125" bestFit="1" customWidth="1"/>
    <col min="2" max="2" width="20.1796875" bestFit="1" customWidth="1"/>
    <col min="3" max="3" width="15.26953125" bestFit="1" customWidth="1"/>
    <col min="4" max="4" width="17.36328125" customWidth="1"/>
    <col min="5" max="5" width="16.6328125" customWidth="1"/>
    <col min="6" max="6" width="15.1796875" customWidth="1"/>
  </cols>
  <sheetData>
    <row r="3" spans="1:3" x14ac:dyDescent="0.35">
      <c r="A3" s="5" t="s">
        <v>13</v>
      </c>
      <c r="B3" t="s">
        <v>21</v>
      </c>
      <c r="C3" t="s">
        <v>14</v>
      </c>
    </row>
    <row r="4" spans="1:3" x14ac:dyDescent="0.35">
      <c r="A4" s="6" t="s">
        <v>10</v>
      </c>
      <c r="B4" s="4">
        <v>3.2666666666666671</v>
      </c>
      <c r="C4" s="7">
        <v>45.733333333333341</v>
      </c>
    </row>
    <row r="5" spans="1:3" x14ac:dyDescent="0.35">
      <c r="A5" s="6" t="s">
        <v>9</v>
      </c>
      <c r="B5" s="4">
        <v>3.2666666666666671</v>
      </c>
      <c r="C5" s="7">
        <v>45.733333333333341</v>
      </c>
    </row>
  </sheetData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7A0F-9ADA-4395-98E3-C109B8B4424B}">
  <dimension ref="A1:I3"/>
  <sheetViews>
    <sheetView zoomScale="120" zoomScaleNormal="120" workbookViewId="0">
      <selection activeCell="C2" sqref="C2"/>
    </sheetView>
  </sheetViews>
  <sheetFormatPr baseColWidth="10" defaultRowHeight="14.5" x14ac:dyDescent="0.35"/>
  <cols>
    <col min="1" max="1" width="10.1796875" style="1" bestFit="1" customWidth="1"/>
    <col min="2" max="2" width="8.81640625" style="2" bestFit="1" customWidth="1"/>
    <col min="3" max="3" width="7.36328125" style="2" bestFit="1" customWidth="1"/>
    <col min="4" max="4" width="17.453125" style="3" bestFit="1" customWidth="1"/>
    <col min="5" max="5" width="8.1796875" style="3" bestFit="1" customWidth="1"/>
    <col min="6" max="6" width="16.81640625" style="3" bestFit="1" customWidth="1"/>
    <col min="7" max="7" width="24.36328125" bestFit="1" customWidth="1"/>
    <col min="8" max="8" width="9.453125" style="7" customWidth="1"/>
    <col min="9" max="9" width="38" customWidth="1"/>
  </cols>
  <sheetData>
    <row r="1" spans="1:9" x14ac:dyDescent="0.35">
      <c r="A1" t="s">
        <v>0</v>
      </c>
      <c r="B1" s="3" t="s">
        <v>1</v>
      </c>
      <c r="C1" s="3" t="s">
        <v>2</v>
      </c>
      <c r="D1" t="s">
        <v>4</v>
      </c>
      <c r="E1" t="s">
        <v>3</v>
      </c>
      <c r="F1" t="s">
        <v>5</v>
      </c>
      <c r="G1" t="s">
        <v>6</v>
      </c>
      <c r="H1" t="s">
        <v>11</v>
      </c>
      <c r="I1" t="s">
        <v>20</v>
      </c>
    </row>
    <row r="2" spans="1:9" x14ac:dyDescent="0.35">
      <c r="A2" s="1">
        <v>46133</v>
      </c>
      <c r="B2" s="2">
        <v>0.39930555555555558</v>
      </c>
      <c r="C2" s="2">
        <v>0.4201388888888889</v>
      </c>
      <c r="D2" s="3">
        <f>Einträge[[#This Row],[Ende]]-Einträge[[#This Row],[Beginn]]</f>
        <v>2.0833333333333315E-2</v>
      </c>
      <c r="E2" s="3">
        <v>0</v>
      </c>
      <c r="F2" s="3">
        <f>Einträge[[#This Row],[Arbeitszeit Brutto]]-Einträge[[#This Row],[Pause]]</f>
        <v>2.0833333333333315E-2</v>
      </c>
      <c r="G2" s="4">
        <f>Einträge[[#This Row],[Arbeitszeit Netto]]*24</f>
        <v>0.49999999999999956</v>
      </c>
      <c r="H2" s="7">
        <f>Einträge[[#This Row],[Arbeitszeit Netto Dezimal]]*Stundenlohn</f>
        <v>6.9999999999999938</v>
      </c>
      <c r="I2" s="3" t="s">
        <v>7</v>
      </c>
    </row>
    <row r="3" spans="1:9" x14ac:dyDescent="0.35">
      <c r="A3" s="1">
        <v>46135</v>
      </c>
      <c r="B3" s="2">
        <v>0.51041666666666663</v>
      </c>
      <c r="C3" s="2">
        <v>0.62569444444444444</v>
      </c>
      <c r="D3" s="3">
        <f>Einträge[[#This Row],[Ende]]-Einträge[[#This Row],[Beginn]]</f>
        <v>0.11527777777777781</v>
      </c>
      <c r="E3" s="3">
        <v>0</v>
      </c>
      <c r="F3" s="3">
        <f>Einträge[[#This Row],[Arbeitszeit Brutto]]-Einträge[[#This Row],[Pause]]</f>
        <v>0.11527777777777781</v>
      </c>
      <c r="G3" s="4">
        <f>Einträge[[#This Row],[Arbeitszeit Netto]]*24</f>
        <v>2.7666666666666675</v>
      </c>
      <c r="H3" s="7">
        <f>Einträge[[#This Row],[Arbeitszeit Netto Dezimal]]*Stundenlohn</f>
        <v>38.733333333333348</v>
      </c>
      <c r="I3" s="3" t="s">
        <v>8</v>
      </c>
    </row>
  </sheetData>
  <dataValidations count="2">
    <dataValidation type="textLength" operator="lessThan" allowBlank="1" showInputMessage="1" showErrorMessage="1" sqref="I2" xr:uid="{B9D41EC3-3415-4643-8EEF-9B767C99EE99}">
      <formula1>25</formula1>
    </dataValidation>
    <dataValidation type="textLength" errorStyle="warning" operator="lessThan" allowBlank="1" showInputMessage="1" showErrorMessage="1" errorTitle="Bemerkung zu lang" promptTitle="Bemerkung zu lang" sqref="I3" xr:uid="{7DEBA8A6-6FE6-44C2-B001-6E16A91E2CD4}">
      <formula1>25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851B-FBE5-4A18-BA12-ACEB02F0BC61}">
  <dimension ref="A1:B5"/>
  <sheetViews>
    <sheetView workbookViewId="0">
      <selection activeCell="B5" sqref="B5"/>
    </sheetView>
  </sheetViews>
  <sheetFormatPr baseColWidth="10" defaultRowHeight="14.5" x14ac:dyDescent="0.35"/>
  <cols>
    <col min="1" max="1" width="17.1796875" customWidth="1"/>
  </cols>
  <sheetData>
    <row r="1" spans="1:2" x14ac:dyDescent="0.35">
      <c r="A1" s="8" t="s">
        <v>16</v>
      </c>
      <c r="B1" t="s">
        <v>22</v>
      </c>
    </row>
    <row r="2" spans="1:2" x14ac:dyDescent="0.35">
      <c r="A2" s="8" t="s">
        <v>15</v>
      </c>
      <c r="B2" t="s">
        <v>23</v>
      </c>
    </row>
    <row r="3" spans="1:2" x14ac:dyDescent="0.35">
      <c r="A3" s="8" t="s">
        <v>17</v>
      </c>
      <c r="B3" t="s">
        <v>24</v>
      </c>
    </row>
    <row r="4" spans="1:2" x14ac:dyDescent="0.35">
      <c r="A4" s="8" t="s">
        <v>18</v>
      </c>
      <c r="B4" t="s">
        <v>19</v>
      </c>
    </row>
    <row r="5" spans="1:2" x14ac:dyDescent="0.35">
      <c r="A5" s="8" t="s">
        <v>12</v>
      </c>
      <c r="B5" s="7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5</vt:i4>
      </vt:variant>
    </vt:vector>
  </HeadingPairs>
  <TitlesOfParts>
    <vt:vector size="8" baseType="lpstr">
      <vt:lpstr>Übersicht</vt:lpstr>
      <vt:lpstr>Einträge</vt:lpstr>
      <vt:lpstr>Stammdaten</vt:lpstr>
      <vt:lpstr>Einsatzbereich</vt:lpstr>
      <vt:lpstr>Nachname</vt:lpstr>
      <vt:lpstr>Personalnummer</vt:lpstr>
      <vt:lpstr>Stundenlohn</vt:lpstr>
      <vt:lpstr>Vorname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Frankhof</dc:creator>
  <cp:lastModifiedBy>Moritz Frankhof</cp:lastModifiedBy>
  <dcterms:created xsi:type="dcterms:W3CDTF">2026-04-23T14:05:23Z</dcterms:created>
  <dcterms:modified xsi:type="dcterms:W3CDTF">2026-05-20T22:06:08Z</dcterms:modified>
</cp:coreProperties>
</file>